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Costeo" sheetId="1" state="visible" r:id="rId1"/>
  </sheets>
  <definedNames>
    <definedName name="_xlnm.Print_Titles" localSheetId="0">'Hoja de Costeo'!$1:$3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₡#,##0"/>
    <numFmt numFmtId="165" formatCode="₡#,##0.00"/>
  </numFmts>
  <fonts count="8">
    <font>
      <name val="Calibri"/>
      <family val="2"/>
      <color theme="1"/>
      <sz val="11"/>
      <scheme val="minor"/>
    </font>
    <font>
      <b val="1"/>
      <color rgb="002F5496"/>
      <sz val="15"/>
    </font>
    <font>
      <i val="1"/>
      <color rgb="00595959"/>
      <sz val="10"/>
    </font>
    <font>
      <sz val="11"/>
    </font>
    <font>
      <b val="1"/>
      <sz val="11"/>
    </font>
    <font>
      <b val="1"/>
      <color rgb="002F5496"/>
      <sz val="12"/>
    </font>
    <font>
      <b val="1"/>
      <color rgb="00FFFFFF"/>
      <sz val="11"/>
    </font>
    <font>
      <color rgb="00404040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65" fontId="0" fillId="5" borderId="1" pivotButton="0" quotePrefix="0" xfId="0"/>
    <xf numFmtId="0" fontId="4" fillId="0" borderId="0" pivotButton="0" quotePrefix="0" xfId="0"/>
    <xf numFmtId="0" fontId="0" fillId="5" borderId="1" pivotButton="0" quotePrefix="0" xfId="0"/>
    <xf numFmtId="9" fontId="0" fillId="4" borderId="1" applyProtection="1" pivotButton="0" quotePrefix="0" xfId="0">
      <protection locked="0" hidden="0"/>
    </xf>
    <xf numFmtId="2" fontId="0" fillId="5" borderId="1" pivotButton="0" quotePrefix="0" xfId="0"/>
    <xf numFmtId="164" fontId="0" fillId="5" borderId="1" pivotButton="0" quotePrefix="0" xfId="0"/>
    <xf numFmtId="164" fontId="4" fillId="5" borderId="1" pivotButton="0" quotePrefix="0" xfId="0"/>
    <xf numFmtId="0" fontId="3" fillId="0" borderId="0" pivotButton="0" quotePrefix="0" xfId="0"/>
    <xf numFmtId="9" fontId="4" fillId="5" borderId="1" pivotButton="0" quotePrefix="0" xfId="0"/>
    <xf numFmtId="0" fontId="4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16" customWidth="1" min="5" max="5"/>
    <col width="16" customWidth="1" min="6" max="6"/>
    <col width="17" customWidth="1" min="7" max="7"/>
  </cols>
  <sheetData>
    <row r="1">
      <c r="A1" s="1" t="inlineStr">
        <is>
          <t>COSTEA — HOJA DE COSTEO (MUESTRA GRATUITA)</t>
        </is>
      </c>
    </row>
    <row r="2">
      <c r="A2" s="2" t="inlineStr">
        <is>
          <t>Muestra gratuita del Kit de Costos y Precios — COSTEA · El kit completo trae 7 hojas para todos tus platos. Conocelo en: wzqdurl.github.io/costea-kit</t>
        </is>
      </c>
    </row>
    <row r="3">
      <c r="A3" s="2" t="inlineStr">
        <is>
          <t>Celdas AMARILLAS = usted escribe  ·  Celdas VERDES = se calculan solas (protegidas)</t>
        </is>
      </c>
    </row>
    <row r="5">
      <c r="A5" s="3" t="inlineStr">
        <is>
          <t>PASO 1 · SU BANCO DE INGREDIENTES — ¿cuánto cuesta cada gramo, mililitro o unidad?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Ingrediente</t>
        </is>
      </c>
      <c r="B6" s="5" t="inlineStr">
        <is>
          <t>Unidad de compra
(lo que usted paga)</t>
        </is>
      </c>
      <c r="C6" s="5" t="inlineStr">
        <is>
          <t>Precio de
compra ₡</t>
        </is>
      </c>
      <c r="D6" s="5" t="inlineStr">
        <is>
          <t>Cantidad en
unidad base</t>
        </is>
      </c>
      <c r="E6" s="5" t="inlineStr">
        <is>
          <t>Unidad
base</t>
        </is>
      </c>
      <c r="F6" s="5" t="inlineStr">
        <is>
          <t>Costo por
unidad base ₡</t>
        </is>
      </c>
    </row>
    <row r="7">
      <c r="A7" s="6" t="inlineStr">
        <is>
          <t>Arroz blanco</t>
        </is>
      </c>
      <c r="B7" s="6" t="inlineStr">
        <is>
          <t>kilo</t>
        </is>
      </c>
      <c r="C7" s="7" t="n">
        <v>1200</v>
      </c>
      <c r="D7" s="6" t="n">
        <v>1000</v>
      </c>
      <c r="E7" s="6" t="inlineStr">
        <is>
          <t>g</t>
        </is>
      </c>
      <c r="F7" s="8">
        <f>IF(OR($C7="",$D7=""),"",$C7/$D7)</f>
        <v/>
      </c>
    </row>
    <row r="8">
      <c r="A8" s="6" t="inlineStr">
        <is>
          <t>Frijoles negros</t>
        </is>
      </c>
      <c r="B8" s="6" t="inlineStr">
        <is>
          <t>kilo</t>
        </is>
      </c>
      <c r="C8" s="7" t="n">
        <v>1900</v>
      </c>
      <c r="D8" s="6" t="n">
        <v>1000</v>
      </c>
      <c r="E8" s="6" t="inlineStr">
        <is>
          <t>g</t>
        </is>
      </c>
      <c r="F8" s="8">
        <f>IF(OR($C8="",$D8=""),"",$C8/$D8)</f>
        <v/>
      </c>
    </row>
    <row r="9">
      <c r="A9" s="6" t="inlineStr">
        <is>
          <t>Carne de res</t>
        </is>
      </c>
      <c r="B9" s="6" t="inlineStr">
        <is>
          <t>kilo</t>
        </is>
      </c>
      <c r="C9" s="7" t="n">
        <v>6500</v>
      </c>
      <c r="D9" s="6" t="n">
        <v>1000</v>
      </c>
      <c r="E9" s="6" t="inlineStr">
        <is>
          <t>g</t>
        </is>
      </c>
      <c r="F9" s="8">
        <f>IF(OR($C9="",$D9=""),"",$C9/$D9)</f>
        <v/>
      </c>
    </row>
    <row r="10">
      <c r="A10" s="6" t="inlineStr">
        <is>
          <t>Plátano maduro</t>
        </is>
      </c>
      <c r="B10" s="6" t="inlineStr">
        <is>
          <t>unidad</t>
        </is>
      </c>
      <c r="C10" s="7" t="n">
        <v>350</v>
      </c>
      <c r="D10" s="6" t="n">
        <v>1</v>
      </c>
      <c r="E10" s="6" t="inlineStr">
        <is>
          <t>unidad</t>
        </is>
      </c>
      <c r="F10" s="8">
        <f>IF(OR($C10="",$D10=""),"",$C10/$D10)</f>
        <v/>
      </c>
    </row>
    <row r="11">
      <c r="A11" s="6" t="inlineStr">
        <is>
          <t>Repollo (ensalada)</t>
        </is>
      </c>
      <c r="B11" s="6" t="inlineStr">
        <is>
          <t>kilo</t>
        </is>
      </c>
      <c r="C11" s="7" t="n">
        <v>800</v>
      </c>
      <c r="D11" s="6" t="n">
        <v>1000</v>
      </c>
      <c r="E11" s="6" t="inlineStr">
        <is>
          <t>g</t>
        </is>
      </c>
      <c r="F11" s="8">
        <f>IF(OR($C11="",$D11=""),"",$C11/$D11)</f>
        <v/>
      </c>
    </row>
    <row r="12">
      <c r="A12" s="6" t="inlineStr">
        <is>
          <t>Queso fresco</t>
        </is>
      </c>
      <c r="B12" s="6" t="inlineStr">
        <is>
          <t>kilo</t>
        </is>
      </c>
      <c r="C12" s="7" t="n">
        <v>4800</v>
      </c>
      <c r="D12" s="6" t="n">
        <v>1000</v>
      </c>
      <c r="E12" s="6" t="inlineStr">
        <is>
          <t>g</t>
        </is>
      </c>
      <c r="F12" s="8">
        <f>IF(OR($C12="",$D12=""),"",$C12/$D12)</f>
        <v/>
      </c>
    </row>
    <row r="13">
      <c r="A13" s="6" t="inlineStr">
        <is>
          <t>Aceite vegetal</t>
        </is>
      </c>
      <c r="B13" s="6" t="inlineStr">
        <is>
          <t>litro</t>
        </is>
      </c>
      <c r="C13" s="7" t="n">
        <v>1800</v>
      </c>
      <c r="D13" s="6" t="n">
        <v>1000</v>
      </c>
      <c r="E13" s="6" t="inlineStr">
        <is>
          <t>ml</t>
        </is>
      </c>
      <c r="F13" s="8">
        <f>IF(OR($C13="",$D13=""),"",$C13/$D13)</f>
        <v/>
      </c>
    </row>
    <row r="14">
      <c r="A14" s="6" t="inlineStr">
        <is>
          <t>Cebolla</t>
        </is>
      </c>
      <c r="B14" s="6" t="inlineStr">
        <is>
          <t>kilo</t>
        </is>
      </c>
      <c r="C14" s="7" t="n">
        <v>1100</v>
      </c>
      <c r="D14" s="6" t="n">
        <v>1000</v>
      </c>
      <c r="E14" s="6" t="inlineStr">
        <is>
          <t>g</t>
        </is>
      </c>
      <c r="F14" s="8">
        <f>IF(OR($C14="",$D14=""),"",$C14/$D14)</f>
        <v/>
      </c>
    </row>
    <row r="15">
      <c r="A15" s="6" t="inlineStr">
        <is>
          <t>Chile dulce</t>
        </is>
      </c>
      <c r="B15" s="6" t="inlineStr">
        <is>
          <t>kilo</t>
        </is>
      </c>
      <c r="C15" s="7" t="n">
        <v>1500</v>
      </c>
      <c r="D15" s="6" t="n">
        <v>1000</v>
      </c>
      <c r="E15" s="6" t="inlineStr">
        <is>
          <t>g</t>
        </is>
      </c>
      <c r="F15" s="8">
        <f>IF(OR($C15="",$D15=""),"",$C15/$D15)</f>
        <v/>
      </c>
    </row>
    <row r="16">
      <c r="A16" s="6" t="inlineStr">
        <is>
          <t>Sal</t>
        </is>
      </c>
      <c r="B16" s="6" t="inlineStr">
        <is>
          <t>kilo</t>
        </is>
      </c>
      <c r="C16" s="7" t="n">
        <v>600</v>
      </c>
      <c r="D16" s="6" t="n">
        <v>1000</v>
      </c>
      <c r="E16" s="6" t="inlineStr">
        <is>
          <t>g</t>
        </is>
      </c>
      <c r="F16" s="8">
        <f>IF(OR($C16="",$D16=""),"",$C16/$D16)</f>
        <v/>
      </c>
    </row>
    <row r="17">
      <c r="A17" s="6" t="n"/>
      <c r="B17" s="6" t="n"/>
      <c r="C17" s="7" t="n"/>
      <c r="D17" s="6" t="n"/>
      <c r="E17" s="6" t="n"/>
      <c r="F17" s="8">
        <f>IF(OR($C17="",$D17=""),"",$C17/$D17)</f>
        <v/>
      </c>
    </row>
    <row r="18">
      <c r="A18" s="6" t="n"/>
      <c r="B18" s="6" t="n"/>
      <c r="C18" s="7" t="n"/>
      <c r="D18" s="6" t="n"/>
      <c r="E18" s="6" t="n"/>
      <c r="F18" s="8">
        <f>IF(OR($C18="",$D18=""),"",$C18/$D18)</f>
        <v/>
      </c>
    </row>
    <row r="19">
      <c r="A19" s="6" t="n"/>
      <c r="B19" s="6" t="n"/>
      <c r="C19" s="7" t="n"/>
      <c r="D19" s="6" t="n"/>
      <c r="E19" s="6" t="n"/>
      <c r="F19" s="8">
        <f>IF(OR($C19="",$D19=""),"",$C19/$D19)</f>
        <v/>
      </c>
    </row>
    <row r="20">
      <c r="A20" s="6" t="n"/>
      <c r="B20" s="6" t="n"/>
      <c r="C20" s="7" t="n"/>
      <c r="D20" s="6" t="n"/>
      <c r="E20" s="6" t="n"/>
      <c r="F20" s="8">
        <f>IF(OR($C20="",$D20=""),"",$C20/$D20)</f>
        <v/>
      </c>
    </row>
    <row r="21">
      <c r="A21" s="6" t="n"/>
      <c r="B21" s="6" t="n"/>
      <c r="C21" s="7" t="n"/>
      <c r="D21" s="6" t="n"/>
      <c r="E21" s="6" t="n"/>
      <c r="F21" s="8">
        <f>IF(OR($C21="",$D21=""),"",$C21/$D21)</f>
        <v/>
      </c>
    </row>
    <row r="23">
      <c r="A23" s="3" t="inlineStr">
        <is>
          <t>PASO 2 · COSTEE UN PLATO — viene costeado el casado; cambie los datos por los de su receta</t>
        </is>
      </c>
      <c r="B23" s="4" t="n"/>
      <c r="C23" s="4" t="n"/>
      <c r="D23" s="4" t="n"/>
      <c r="E23" s="4" t="n"/>
      <c r="F23" s="4" t="n"/>
      <c r="G23" s="4" t="n"/>
    </row>
    <row r="24">
      <c r="A24" s="9" t="inlineStr">
        <is>
          <t>¿Cuántas porciones rinde esta receta?</t>
        </is>
      </c>
      <c r="G24" s="6" t="n">
        <v>1</v>
      </c>
    </row>
    <row r="25">
      <c r="A25" s="5" t="inlineStr">
        <is>
          <t>Ingrediente</t>
        </is>
      </c>
      <c r="B25" s="5" t="inlineStr">
        <is>
          <t>Cantidad neta
que se usa</t>
        </is>
      </c>
      <c r="C25" s="5" t="inlineStr">
        <is>
          <t>Unidad
base</t>
        </is>
      </c>
      <c r="D25" s="5" t="inlineStr">
        <is>
          <t>Merma %</t>
        </is>
      </c>
      <c r="E25" s="5" t="inlineStr">
        <is>
          <t>Cantidad bruta
a comprar</t>
        </is>
      </c>
      <c r="F25" s="5" t="inlineStr">
        <is>
          <t>Costo por
unidad base ₡</t>
        </is>
      </c>
      <c r="G25" s="5" t="inlineStr">
        <is>
          <t>Costo del
ingrediente ₡</t>
        </is>
      </c>
    </row>
    <row r="26">
      <c r="A26" s="6" t="inlineStr">
        <is>
          <t>Arroz blanco</t>
        </is>
      </c>
      <c r="B26" s="6" t="n">
        <v>90</v>
      </c>
      <c r="C26" s="10">
        <f>IF($A26="","",IFERROR(VLOOKUP($A26,$A$7:$F$21,5,FALSE),"⚠ no está en el banco"))</f>
        <v/>
      </c>
      <c r="D26" s="11" t="n">
        <v>0</v>
      </c>
      <c r="E26" s="12">
        <f>IF($B26="","",$B26/(1-N($D26)))</f>
        <v/>
      </c>
      <c r="F26" s="8">
        <f>IF($A26="","",IFERROR(VLOOKUP($A26,$A$7:$F$21,6,FALSE),""))</f>
        <v/>
      </c>
      <c r="G26" s="13">
        <f>IF(OR($E26="",$F26=""),"",$E26*$F26)</f>
        <v/>
      </c>
    </row>
    <row r="27">
      <c r="A27" s="6" t="inlineStr">
        <is>
          <t>Frijoles negros</t>
        </is>
      </c>
      <c r="B27" s="6" t="n">
        <v>40</v>
      </c>
      <c r="C27" s="10">
        <f>IF($A27="","",IFERROR(VLOOKUP($A27,$A$7:$F$21,5,FALSE),"⚠ no está en el banco"))</f>
        <v/>
      </c>
      <c r="D27" s="11" t="n">
        <v>0</v>
      </c>
      <c r="E27" s="12">
        <f>IF($B27="","",$B27/(1-N($D27)))</f>
        <v/>
      </c>
      <c r="F27" s="8">
        <f>IF($A27="","",IFERROR(VLOOKUP($A27,$A$7:$F$21,6,FALSE),""))</f>
        <v/>
      </c>
      <c r="G27" s="13">
        <f>IF(OR($E27="",$F27=""),"",$E27*$F27)</f>
        <v/>
      </c>
    </row>
    <row r="28">
      <c r="A28" s="6" t="inlineStr">
        <is>
          <t>Carne de res</t>
        </is>
      </c>
      <c r="B28" s="6" t="n">
        <v>120</v>
      </c>
      <c r="C28" s="10">
        <f>IF($A28="","",IFERROR(VLOOKUP($A28,$A$7:$F$21,5,FALSE),"⚠ no está en el banco"))</f>
        <v/>
      </c>
      <c r="D28" s="11" t="n">
        <v>0.1</v>
      </c>
      <c r="E28" s="12">
        <f>IF($B28="","",$B28/(1-N($D28)))</f>
        <v/>
      </c>
      <c r="F28" s="8">
        <f>IF($A28="","",IFERROR(VLOOKUP($A28,$A$7:$F$21,6,FALSE),""))</f>
        <v/>
      </c>
      <c r="G28" s="13">
        <f>IF(OR($E28="",$F28=""),"",$E28*$F28)</f>
        <v/>
      </c>
    </row>
    <row r="29">
      <c r="A29" s="6" t="inlineStr">
        <is>
          <t>Plátano maduro</t>
        </is>
      </c>
      <c r="B29" s="6" t="n">
        <v>0.5</v>
      </c>
      <c r="C29" s="10">
        <f>IF($A29="","",IFERROR(VLOOKUP($A29,$A$7:$F$21,5,FALSE),"⚠ no está en el banco"))</f>
        <v/>
      </c>
      <c r="D29" s="11" t="n">
        <v>0.05</v>
      </c>
      <c r="E29" s="12">
        <f>IF($B29="","",$B29/(1-N($D29)))</f>
        <v/>
      </c>
      <c r="F29" s="8">
        <f>IF($A29="","",IFERROR(VLOOKUP($A29,$A$7:$F$21,6,FALSE),""))</f>
        <v/>
      </c>
      <c r="G29" s="13">
        <f>IF(OR($E29="",$F29=""),"",$E29*$F29)</f>
        <v/>
      </c>
    </row>
    <row r="30">
      <c r="A30" s="6" t="inlineStr">
        <is>
          <t>Repollo (ensalada)</t>
        </is>
      </c>
      <c r="B30" s="6" t="n">
        <v>60</v>
      </c>
      <c r="C30" s="10">
        <f>IF($A30="","",IFERROR(VLOOKUP($A30,$A$7:$F$21,5,FALSE),"⚠ no está en el banco"))</f>
        <v/>
      </c>
      <c r="D30" s="11" t="n">
        <v>0.05</v>
      </c>
      <c r="E30" s="12">
        <f>IF($B30="","",$B30/(1-N($D30)))</f>
        <v/>
      </c>
      <c r="F30" s="8">
        <f>IF($A30="","",IFERROR(VLOOKUP($A30,$A$7:$F$21,6,FALSE),""))</f>
        <v/>
      </c>
      <c r="G30" s="13">
        <f>IF(OR($E30="",$F30=""),"",$E30*$F30)</f>
        <v/>
      </c>
    </row>
    <row r="31">
      <c r="A31" s="6" t="inlineStr">
        <is>
          <t>Queso fresco</t>
        </is>
      </c>
      <c r="B31" s="6" t="n">
        <v>30</v>
      </c>
      <c r="C31" s="10">
        <f>IF($A31="","",IFERROR(VLOOKUP($A31,$A$7:$F$21,5,FALSE),"⚠ no está en el banco"))</f>
        <v/>
      </c>
      <c r="D31" s="11" t="n">
        <v>0</v>
      </c>
      <c r="E31" s="12">
        <f>IF($B31="","",$B31/(1-N($D31)))</f>
        <v/>
      </c>
      <c r="F31" s="8">
        <f>IF($A31="","",IFERROR(VLOOKUP($A31,$A$7:$F$21,6,FALSE),""))</f>
        <v/>
      </c>
      <c r="G31" s="13">
        <f>IF(OR($E31="",$F31=""),"",$E31*$F31)</f>
        <v/>
      </c>
    </row>
    <row r="32">
      <c r="A32" s="6" t="inlineStr">
        <is>
          <t>Aceite vegetal</t>
        </is>
      </c>
      <c r="B32" s="6" t="n">
        <v>10</v>
      </c>
      <c r="C32" s="10">
        <f>IF($A32="","",IFERROR(VLOOKUP($A32,$A$7:$F$21,5,FALSE),"⚠ no está en el banco"))</f>
        <v/>
      </c>
      <c r="D32" s="11" t="n">
        <v>0</v>
      </c>
      <c r="E32" s="12">
        <f>IF($B32="","",$B32/(1-N($D32)))</f>
        <v/>
      </c>
      <c r="F32" s="8">
        <f>IF($A32="","",IFERROR(VLOOKUP($A32,$A$7:$F$21,6,FALSE),""))</f>
        <v/>
      </c>
      <c r="G32" s="13">
        <f>IF(OR($E32="",$F32=""),"",$E32*$F32)</f>
        <v/>
      </c>
    </row>
    <row r="33">
      <c r="A33" s="6" t="inlineStr">
        <is>
          <t>Cebolla</t>
        </is>
      </c>
      <c r="B33" s="6" t="n">
        <v>10</v>
      </c>
      <c r="C33" s="10">
        <f>IF($A33="","",IFERROR(VLOOKUP($A33,$A$7:$F$21,5,FALSE),"⚠ no está en el banco"))</f>
        <v/>
      </c>
      <c r="D33" s="11" t="n">
        <v>0.05</v>
      </c>
      <c r="E33" s="12">
        <f>IF($B33="","",$B33/(1-N($D33)))</f>
        <v/>
      </c>
      <c r="F33" s="8">
        <f>IF($A33="","",IFERROR(VLOOKUP($A33,$A$7:$F$21,6,FALSE),""))</f>
        <v/>
      </c>
      <c r="G33" s="13">
        <f>IF(OR($E33="",$F33=""),"",$E33*$F33)</f>
        <v/>
      </c>
    </row>
    <row r="34">
      <c r="A34" s="6" t="inlineStr">
        <is>
          <t>Chile dulce</t>
        </is>
      </c>
      <c r="B34" s="6" t="n">
        <v>10</v>
      </c>
      <c r="C34" s="10">
        <f>IF($A34="","",IFERROR(VLOOKUP($A34,$A$7:$F$21,5,FALSE),"⚠ no está en el banco"))</f>
        <v/>
      </c>
      <c r="D34" s="11" t="n">
        <v>0.05</v>
      </c>
      <c r="E34" s="12">
        <f>IF($B34="","",$B34/(1-N($D34)))</f>
        <v/>
      </c>
      <c r="F34" s="8">
        <f>IF($A34="","",IFERROR(VLOOKUP($A34,$A$7:$F$21,6,FALSE),""))</f>
        <v/>
      </c>
      <c r="G34" s="13">
        <f>IF(OR($E34="",$F34=""),"",$E34*$F34)</f>
        <v/>
      </c>
    </row>
    <row r="35">
      <c r="A35" s="6" t="inlineStr">
        <is>
          <t>Sal</t>
        </is>
      </c>
      <c r="B35" s="6" t="n">
        <v>2</v>
      </c>
      <c r="C35" s="10">
        <f>IF($A35="","",IFERROR(VLOOKUP($A35,$A$7:$F$21,5,FALSE),"⚠ no está en el banco"))</f>
        <v/>
      </c>
      <c r="D35" s="11" t="n">
        <v>0</v>
      </c>
      <c r="E35" s="12">
        <f>IF($B35="","",$B35/(1-N($D35)))</f>
        <v/>
      </c>
      <c r="F35" s="8">
        <f>IF($A35="","",IFERROR(VLOOKUP($A35,$A$7:$F$21,6,FALSE),""))</f>
        <v/>
      </c>
      <c r="G35" s="13">
        <f>IF(OR($E35="",$F35=""),"",$E35*$F35)</f>
        <v/>
      </c>
    </row>
    <row r="36">
      <c r="A36" s="6" t="n"/>
      <c r="B36" s="6" t="n"/>
      <c r="C36" s="10">
        <f>IF($A36="","",IFERROR(VLOOKUP($A36,$A$7:$F$21,5,FALSE),"⚠ no está en el banco"))</f>
        <v/>
      </c>
      <c r="D36" s="11" t="n"/>
      <c r="E36" s="12">
        <f>IF($B36="","",$B36/(1-N($D36)))</f>
        <v/>
      </c>
      <c r="F36" s="8">
        <f>IF($A36="","",IFERROR(VLOOKUP($A36,$A$7:$F$21,6,FALSE),""))</f>
        <v/>
      </c>
      <c r="G36" s="13">
        <f>IF(OR($E36="",$F36=""),"",$E36*$F36)</f>
        <v/>
      </c>
    </row>
    <row r="37">
      <c r="A37" s="6" t="n"/>
      <c r="B37" s="6" t="n"/>
      <c r="C37" s="10">
        <f>IF($A37="","",IFERROR(VLOOKUP($A37,$A$7:$F$21,5,FALSE),"⚠ no está en el banco"))</f>
        <v/>
      </c>
      <c r="D37" s="11" t="n"/>
      <c r="E37" s="12">
        <f>IF($B37="","",$B37/(1-N($D37)))</f>
        <v/>
      </c>
      <c r="F37" s="8">
        <f>IF($A37="","",IFERROR(VLOOKUP($A37,$A$7:$F$21,6,FALSE),""))</f>
        <v/>
      </c>
      <c r="G37" s="13">
        <f>IF(OR($E37="",$F37=""),"",$E37*$F37)</f>
        <v/>
      </c>
    </row>
    <row r="38">
      <c r="A38" s="9" t="inlineStr">
        <is>
          <t>COSTO TOTAL DE LA RECETA</t>
        </is>
      </c>
      <c r="G38" s="14">
        <f>SUM(G26:G37)</f>
        <v/>
      </c>
    </row>
    <row r="39">
      <c r="A39" s="9" t="inlineStr">
        <is>
          <t>COSTO POR PORCIÓN →</t>
        </is>
      </c>
      <c r="G39" s="14">
        <f>IF($G$24="","",$G$38/$G$24)</f>
        <v/>
      </c>
    </row>
    <row r="41">
      <c r="A41" s="3" t="inlineStr">
        <is>
          <t>PASO 3 · DEL COSTO AL PRECIO — el semáforo de food cost</t>
        </is>
      </c>
      <c r="B41" s="4" t="n"/>
      <c r="C41" s="4" t="n"/>
      <c r="D41" s="4" t="n"/>
      <c r="E41" s="4" t="n"/>
      <c r="F41" s="4" t="n"/>
      <c r="G41" s="4" t="n"/>
    </row>
    <row r="42">
      <c r="A42" s="15" t="inlineStr">
        <is>
          <t>Food cost objetivo (lo sano en una soda: 28% a 35%)</t>
        </is>
      </c>
      <c r="G42" s="11" t="n">
        <v>0.32</v>
      </c>
    </row>
    <row r="43">
      <c r="A43" s="15" t="inlineStr">
        <is>
          <t>Precio sugerido según su objetivo ₡</t>
        </is>
      </c>
      <c r="G43" s="14">
        <f>IF(OR($G$39="",$G$42=""),"",$G$39/$G$42)</f>
        <v/>
      </c>
    </row>
    <row r="44">
      <c r="A44" s="15" t="inlineStr">
        <is>
          <t>Precio al que vende este plato hoy ₡</t>
        </is>
      </c>
      <c r="G44" s="7" t="n">
        <v>4500</v>
      </c>
    </row>
    <row r="45">
      <c r="A45" s="15" t="inlineStr">
        <is>
          <t>Food cost real (costo por porción ÷ precio de hoy)</t>
        </is>
      </c>
      <c r="G45" s="16">
        <f>IF(OR($G$39="",$G$44=""),"",$G$39/$G$44)</f>
        <v/>
      </c>
    </row>
    <row r="46">
      <c r="A46" s="15" t="inlineStr">
        <is>
          <t>Semáforo</t>
        </is>
      </c>
      <c r="G46" s="17">
        <f>IF($G$45="","",IF($G$45&lt;=0.35,"EN ZONA SANA",IF($G$45&lt;=0.42,"A REVISAR","PERDIENDO PLATA")))</f>
        <v/>
      </c>
    </row>
    <row r="48">
      <c r="A48" s="18" t="inlineStr">
        <is>
          <t>CÓMO USARLA: 1) Cambie los precios del paso 1 por los que usted paga.  2) En el paso 2, anote cuánto lleva</t>
        </is>
      </c>
    </row>
    <row r="49">
      <c r="A49" s="18" t="inlineStr">
        <is>
          <t>cada porción y la merma (lo que se pierde pelando, limpiando o cociendo; si se usa tal cual, la merma es 0%).</t>
        </is>
      </c>
    </row>
    <row r="50">
      <c r="A50" s="18" t="inlineStr">
        <is>
          <t>3) En el paso 3 compare el precio sugerido con el que cobra hoy: ahí está su food cost real.</t>
        </is>
      </c>
    </row>
    <row r="51">
      <c r="A51" s="18" t="inlineStr"/>
    </row>
    <row r="52">
      <c r="A52" s="18" t="inlineStr">
        <is>
          <t>Los precios precargados son de ejemplo (Costa Rica, 2026): sirven para ver la hoja funcionando, no son los de su zona.</t>
        </is>
      </c>
    </row>
    <row r="53">
      <c r="A53" s="18" t="inlineStr"/>
    </row>
    <row r="54">
      <c r="A54" s="18" t="inlineStr">
        <is>
          <t>EL KIT COMPLETO — COSTEA ($14.99, pago único): 7 hojas para todos sus platos — banco de ingredientes amplio,</t>
        </is>
      </c>
    </row>
    <row r="55">
      <c r="A55" s="18" t="inlineStr">
        <is>
          <t>escandallo, precio sugerido con semáforo, punto de equilibrio (cuántos platos vender al mes para no perder),</t>
        </is>
      </c>
    </row>
    <row r="56">
      <c r="A56" s="18" t="inlineStr">
        <is>
          <t>inventario con alertas y registro de ventas y gastos — más la guía en PDF «Cómo ponerle precio a un plato sin</t>
        </is>
      </c>
    </row>
    <row r="57">
      <c r="A57" s="18" t="inlineStr">
        <is>
          <t>perder plata». Conózcalo en: wzqdurl.github.io/costea-kit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">
    <mergeCell ref="A46:F46"/>
    <mergeCell ref="A53:G53"/>
    <mergeCell ref="A52:G52"/>
    <mergeCell ref="A42:F42"/>
    <mergeCell ref="A48:G48"/>
    <mergeCell ref="A51:G51"/>
    <mergeCell ref="A49:G49"/>
    <mergeCell ref="A43:F43"/>
    <mergeCell ref="A38:F38"/>
    <mergeCell ref="A1:G1"/>
    <mergeCell ref="A44:F44"/>
    <mergeCell ref="A54:G54"/>
    <mergeCell ref="A41:G41"/>
    <mergeCell ref="A39:F39"/>
    <mergeCell ref="A24:F24"/>
    <mergeCell ref="A56:G56"/>
    <mergeCell ref="A3:G3"/>
    <mergeCell ref="A45:F45"/>
    <mergeCell ref="A55:G55"/>
    <mergeCell ref="A50:G50"/>
    <mergeCell ref="A2:G2"/>
    <mergeCell ref="A57:G57"/>
    <mergeCell ref="A5:G5"/>
    <mergeCell ref="A23:G23"/>
  </mergeCells>
  <dataValidations count="1">
    <dataValidation sqref="A26 A27 A28 A29 A30 A31 A32 A33 A34 A35 A36 A37" showDropDown="0" showInputMessage="0" showErrorMessage="0" allowBlank="1" promptTitle="Ingrediente" prompt="Elija un ingrediente de su banco (paso 1)" type="list">
      <formula1>$A$7:$A$21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2026-10-23T21:07:44+00:00Z</dcterms:created>
  <dcterms:modified xmlns:dcterms="http://purl.org/dc/terms/" xmlns:xsi="http://www.w3.org/2001/XMLSchema-instance" xsi:type="dcterms:W3CDTF">2026-10-23T21:07:44+00:00Z</dcterms:modified>
</cp:coreProperties>
</file>